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4986fd5a8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ual projections" sheetId="1" r:id="R0e26d8326ad24c9f"/>
    <x:sheet xmlns:r="http://schemas.openxmlformats.org/officeDocument/2006/relationships" name="Forecast workings" sheetId="2" r:id="R7501e5bf8437447f"/>
    <x:sheet xmlns:r="http://schemas.openxmlformats.org/officeDocument/2006/relationships" name="Source actuals" sheetId="3" r:id="R15f4e2751b534c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(#,##0.0);&quot;-&quot;"/>
    <x:numFmt numFmtId="201" formatCode="0.0%;(0.0%);&quot;-&quot;"/>
    <x:numFmt numFmtId="202" formatCode="0.0%"/>
    <x:numFmt numFmtId="203" formatCode="0"/>
    <x:numFmt numFmtId="204" formatCode="0.00;(0.00);0.00"/>
  </x:numFmts>
  <x:fonts count="14">
    <x:font>
      <x:sz val="11"/>
      <x:name val="Carlito"/>
    </x:font>
    <x:font>
      <x:sz val="10"/>
      <x:color rgb="FF202520"/>
      <x:name val="Arial"/>
    </x:font>
    <x:font>
      <x:b/>
      <x:sz val="14"/>
      <x:color rgb="FF202520"/>
      <x:name val="Arial"/>
    </x:font>
    <x:font>
      <x:i/>
      <x:sz val="10"/>
      <x:color rgb="FF626962"/>
      <x:name val="Arial"/>
    </x:font>
    <x:font>
      <x:b/>
      <x:sz val="10"/>
      <x:color rgb="FFFFFFFF"/>
      <x:name val="Arial"/>
    </x:font>
    <x:font>
      <x:b/>
      <x:sz val="10"/>
      <x:color rgb="FF202520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0"/>
      <x:color rgb="FF008000"/>
      <x:name val="Arial"/>
    </x:font>
    <x:font>
      <x:b/>
      <x:sz val="10"/>
      <x:color rgb="FF000000"/>
      <x:name val="Arial"/>
    </x:font>
    <x:font>
      <x:i/>
      <x:sz val="10"/>
      <x:color rgb="FF202520"/>
      <x:name val="Arial"/>
    </x:font>
    <x:font>
      <x:i/>
      <x:sz val="10"/>
      <x:color rgb="FF008000"/>
      <x:name val="Arial"/>
    </x:font>
    <x:font>
      <x:i/>
      <x:sz val="10"/>
      <x:color rgb="FF000000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34A2F"/>
      </x:patternFill>
    </x:fill>
    <x:fill>
      <x:patternFill patternType="solid">
        <x:fgColor rgb="FFEAF0E4"/>
      </x:patternFill>
    </x:fill>
    <x:fill>
      <x:patternFill patternType="solid">
        <x:fgColor rgb="FFFFF5D6"/>
      </x:patternFill>
    </x:fill>
    <x:fill>
      <x:patternFill patternType="solid">
        <x:fgColor rgb="FF92D050"/>
      </x:patternFill>
    </x:fill>
  </x:fills>
  <x:borders count="3">
    <x:border/>
    <x:border>
      <x:top style="thin">
        <x:color rgb="FFADB9A6"/>
      </x:top>
    </x:border>
    <x:border>
      <x:top style="thin">
        <x:color rgb="FFBFC5BD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 vertical="center"/>
    </x:xf>
    <x:xf numFmtId="200" fontId="7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0" fontId="9" fillId="0" borderId="0" xfId="0" applyNumberFormat="1" applyFont="1" applyFill="1" applyBorder="1" applyAlignment="1">
      <x:alignment horizontal="right" vertical="center"/>
    </x:xf>
    <x:xf numFmtId="0" fontId="5" fillId="0" borderId="1" xfId="0" applyNumberFormat="1" applyFont="1" applyFill="1" applyBorder="1" applyAlignment="1">
      <x:alignment vertical="center"/>
    </x:xf>
    <x:xf numFmtId="200" fontId="8" fillId="0" borderId="1" xfId="0" applyNumberFormat="1" applyFont="1" applyFill="1" applyBorder="1" applyAlignment="1">
      <x:alignment horizontal="right" vertical="center"/>
    </x:xf>
    <x:xf numFmtId="200" fontId="9" fillId="0" borderId="1" xfId="0" applyNumberFormat="1" applyFont="1" applyFill="1" applyBorder="1" applyAlignment="1">
      <x:alignment horizontal="right" vertical="center"/>
    </x:xf>
    <x:xf numFmtId="0" fontId="5" fillId="3" borderId="1" xfId="0" applyNumberFormat="1" applyFont="1" applyFill="1" applyBorder="1" applyAlignment="1">
      <x:alignment vertical="center"/>
    </x:xf>
    <x:xf numFmtId="200" fontId="8" fillId="3" borderId="1" xfId="0" applyNumberFormat="1" applyFont="1" applyFill="1" applyBorder="1" applyAlignment="1">
      <x:alignment horizontal="right" vertical="center"/>
    </x:xf>
    <x:xf numFmtId="200" fontId="9" fillId="3" borderId="1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horizontal="right" vertical="center"/>
    </x:xf>
    <x:xf numFmtId="201" fontId="12" fillId="0" borderId="0" xfId="0" applyNumberFormat="1" applyFont="1" applyFill="1" applyBorder="1" applyAlignment="1">
      <x:alignment horizontal="right" vertical="center"/>
    </x:xf>
    <x:xf numFmtId="202" fontId="7" fillId="0" borderId="0" xfId="0" applyNumberFormat="1" applyFont="1" applyFill="1" applyBorder="1" applyAlignment="1">
      <x:alignment horizontal="right" vertical="center"/>
    </x:xf>
    <x:xf numFmtId="200" fontId="10" fillId="0" borderId="0" xfId="0" applyNumberFormat="1" applyFont="1" applyFill="1" applyBorder="1" applyAlignment="1">
      <x:alignment horizontal="right" vertical="center"/>
    </x:xf>
    <x:xf numFmtId="202" fontId="12" fillId="0" borderId="0" xfId="0" applyNumberFormat="1" applyFont="1" applyFill="1" applyBorder="1" applyAlignment="1">
      <x:alignment horizontal="right"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0" fontId="5" fillId="3" borderId="1" xfId="0" applyNumberFormat="1" applyFont="1" applyFill="1" applyBorder="1" applyAlignment="1">
      <x:alignment horizontal="right" vertical="center"/>
    </x:xf>
    <x:xf numFmtId="201" fontId="10" fillId="0" borderId="0" xfId="0" applyNumberFormat="1" applyFont="1" applyFill="1" applyBorder="1" applyAlignment="1">
      <x:alignment horizontal="right" vertical="center"/>
    </x:xf>
    <x:xf numFmtId="202" fontId="10" fillId="0" borderId="0" xfId="0" applyNumberFormat="1" applyFont="1" applyFill="1" applyBorder="1" applyAlignment="1">
      <x:alignment horizontal="right" vertical="center"/>
    </x:xf>
    <x:xf numFmtId="0" fontId="13" fillId="0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vertical="center"/>
    </x:xf>
    <x:xf numFmtId="203" fontId="13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2" fontId="13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3" fillId="4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7" fillId="0" borderId="0" xfId="0" applyNumberFormat="1" applyFont="1" applyFill="1" applyBorder="1" applyAlignment="1">
      <x:alignment horizontal="right" vertical="center"/>
    </x:xf>
    <x:xf numFmtId="202" fontId="13" fillId="4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horizontal="center" wrapText="1"/>
    </x:xf>
    <x:xf numFmtId="0" fontId="9" fillId="5" borderId="0" xfId="0" applyNumberFormat="1" applyFont="1" applyFill="1" applyBorder="1" applyAlignment="1">
      <x:alignment horizontal="center"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9" fillId="0" borderId="0" xfId="0" applyNumberFormat="1" applyFont="1" applyFill="1" applyBorder="1"/>
    <x:xf numFmtId="200" fontId="9" fillId="0" borderId="0" xfId="0" applyNumberFormat="1" applyFont="1" applyFill="1" applyBorder="1"/>
    <x:xf numFmtId="201" fontId="9" fillId="0" borderId="0" xfId="0" applyNumberFormat="1" applyFont="1" applyFill="1" applyBorder="1"/>
    <x:xf numFmtId="0" fontId="9" fillId="0" borderId="2" xfId="0" applyNumberFormat="1" applyFont="1" applyFill="1" applyBorder="1"/>
    <x:xf numFmtId="200" fontId="9" fillId="0" borderId="2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8a9ccca374bb6" /><Relationship Type="http://schemas.openxmlformats.org/officeDocument/2006/relationships/theme" Target="/xl/theme/theme1.xml" Id="R3fe0779d71234326" /><Relationship Type="http://schemas.openxmlformats.org/officeDocument/2006/relationships/sharedStrings" Target="/xl/sharedStrings.xml" Id="R9d7bb56b6d23470e" /><Relationship Type="http://schemas.openxmlformats.org/officeDocument/2006/relationships/worksheet" Target="/xl/worksheets/sheet1.xml" Id="R0e26d8326ad24c9f" /><Relationship Type="http://schemas.openxmlformats.org/officeDocument/2006/relationships/worksheet" Target="/xl/worksheets/sheet2.xml" Id="R7501e5bf8437447f" /><Relationship Type="http://schemas.openxmlformats.org/officeDocument/2006/relationships/worksheet" Target="/xl/worksheets/sheet3.xml" Id="R15f4e2751b534c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A2F"/>
  </x:sheetPr>
  <x:sheetViews>
    <x:sheetView showGridLines="0" workbookViewId="0"/>
  </x:sheetViews>
  <x:sheetFormatPr defaultRowHeight="15"/>
  <x:cols>
    <x:col min="1" max="1" width="43" hidden="0" customWidth="1"/>
    <x:col min="2" max="2" width="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5" t="str">
        <x:v>Annual financial projections</x:v>
      </x:c>
      <x:c r="B2" s="2"/>
      <x:c r="C2" s="2"/>
      <x:c r="D2" s="2"/>
      <x:c r="E2" s="2"/>
      <x:c r="F2" s="2"/>
      <x:c r="G2" s="2"/>
      <x:c r="H2" s="2"/>
    </x:row>
    <x:row r="3" ht="21" customHeight="1">
      <x:c r="A3" s="6" t="str">
        <x:v>Amounts in $000. Fiscal year ends in March. FY26 actuals cover April–November 2025.</x:v>
      </x:c>
      <x:c r="B3" s="2"/>
      <x:c r="C3" s="2"/>
      <x:c r="D3" s="2"/>
      <x:c r="E3" s="2"/>
      <x:c r="F3" s="2"/>
      <x:c r="G3" s="2"/>
      <x:c r="H3" s="2"/>
    </x:row>
    <x:row r="4" ht="21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10" t="str">
        <x:v>Particulars</x:v>
      </x:c>
      <x:c r="B5" s="10" t="str">
        <x:v>UoM</x:v>
      </x:c>
      <x:c r="C5" s="10" t="str">
        <x:v>FY25
Actual</x:v>
      </x:c>
      <x:c r="D5" s="10" t="str">
        <x:v>FY26
Actual • 8 months</x:v>
      </x:c>
      <x:c r="E5" s="10" t="str">
        <x:v>Estimate FY26
Full year</x:v>
      </x:c>
      <x:c r="F5" s="10" t="str">
        <x:v>FY27
Projection</x:v>
      </x:c>
      <x:c r="G5" s="10" t="str">
        <x:v>FY28
Projection</x:v>
      </x:c>
      <x:c r="H5" s="10" t="str">
        <x:v>FY29
Projection</x:v>
      </x:c>
    </x:row>
    <x:row r="6" ht="21" customHeight="1">
      <x:c r="A6" s="13" t="str">
        <x:v>Revenue contributors</x:v>
      </x:c>
      <x:c r="B6" s="13"/>
      <x:c r="C6" s="14"/>
      <x:c r="D6" s="14"/>
      <x:c r="E6" s="14"/>
      <x:c r="F6" s="14"/>
      <x:c r="G6" s="14"/>
      <x:c r="H6" s="14"/>
    </x:row>
    <x:row r="7" ht="21" customHeight="1">
      <x:c r="A7" s="2" t="str">
        <x:v>Subscription revenue</x:v>
      </x:c>
      <x:c r="B7" s="2" t="str">
        <x:v>$ 000</x:v>
      </x:c>
      <x:c r="C7" s="4" t="n">
        <x:f>'Source actuals'!G3</x:f>
        <x:v>53158.39642015284</x:v>
      </x:c>
      <x:c r="D7" s="4" t="n">
        <x:f>'Source actuals'!K3</x:f>
        <x:v>157051.9147335174</x:v>
      </x:c>
      <x:c r="E7" s="4" t="n">
        <x:f>D7+'Forecast workings'!F27</x:f>
        <x:v>266398.4672992188</x:v>
      </x:c>
      <x:c r="F7" s="4" t="n">
        <x:f>E7*(1+'Forecast workings'!D11)</x:f>
        <x:v>359637.93085394544</x:v>
      </x:c>
      <x:c r="G7" s="4" t="n">
        <x:f>F7*(1+'Forecast workings'!E11)</x:f>
        <x:v>449547.4135674318</x:v>
      </x:c>
      <x:c r="H7" s="4" t="n">
        <x:f>G7*(1+'Forecast workings'!F11)</x:f>
        <x:v>530465.9480095695</x:v>
      </x:c>
    </x:row>
    <x:row r="8" ht="21" customHeight="1">
      <x:c r="A8" s="2" t="str">
        <x:v>Micro-transactions</x:v>
      </x:c>
      <x:c r="B8" s="2" t="str">
        <x:v>$ 000</x:v>
      </x:c>
      <x:c r="C8" s="4" t="n">
        <x:f>'Source actuals'!G4</x:f>
        <x:v>4898.4685694170985</x:v>
      </x:c>
      <x:c r="D8" s="4" t="n">
        <x:f>'Source actuals'!K4</x:f>
        <x:v>15723.53843206139</x:v>
      </x:c>
      <x:c r="E8" s="4" t="n">
        <x:f>D8+'Forecast workings'!F28</x:f>
        <x:v>27208.856117539628</x:v>
      </x:c>
      <x:c r="F8" s="4" t="n">
        <x:f>F7*'Forecast workings'!D13</x:f>
        <x:v>37761.98273966427</x:v>
      </x:c>
      <x:c r="G8" s="4" t="n">
        <x:f>G7*'Forecast workings'!E13</x:f>
        <x:v>48551.12066528264</x:v>
      </x:c>
      <x:c r="H8" s="4" t="n">
        <x:f>H7*'Forecast workings'!F13</x:f>
        <x:v>58351.25428105265</x:v>
      </x:c>
    </x:row>
    <x:row r="9" ht="21" customHeight="1">
      <x:c r="A9" s="2" t="str">
        <x:v>Ad revenue</x:v>
      </x:c>
      <x:c r="B9" s="2" t="str">
        <x:v>$ 000</x:v>
      </x:c>
      <x:c r="C9" s="4" t="n">
        <x:f>'Source actuals'!G5</x:f>
        <x:v>3805.135052646512</x:v>
      </x:c>
      <x:c r="D9" s="4" t="n">
        <x:f>'Source actuals'!K5</x:f>
        <x:v>2484.648011646405</x:v>
      </x:c>
      <x:c r="E9" s="4" t="n">
        <x:f>D9+'Forecast workings'!F29</x:f>
        <x:v>2776.568411646405</x:v>
      </x:c>
      <x:c r="F9" s="4" t="n">
        <x:f>'Forecast workings'!E29*'Forecast workings'!$C$10*(1+'Forecast workings'!D14)</x:f>
        <x:v>875.7612000000001</x:v>
      </x:c>
      <x:c r="G9" s="4" t="n">
        <x:f>F9*(1+'Forecast workings'!E14)</x:f>
        <x:v>919.5492600000002</x:v>
      </x:c>
      <x:c r="H9" s="4" t="n">
        <x:f>G9*(1+'Forecast workings'!F14)</x:f>
        <x:v>965.5267230000003</x:v>
      </x:c>
    </x:row>
    <x:row r="10" ht="21" customHeight="1">
      <x:c r="A10" s="20" t="str">
        <x:v>Gross Revenue</x:v>
      </x:c>
      <x:c r="B10" s="20" t="str">
        <x:v>$ 000</x:v>
      </x:c>
      <x:c r="C10" s="34" t="n">
        <x:f>'Source actuals'!G6</x:f>
        <x:v>61862.000042216445</x:v>
      </x:c>
      <x:c r="D10" s="34" t="n">
        <x:f>'Source actuals'!K6</x:f>
        <x:v>175260.10117722518</x:v>
      </x:c>
      <x:c r="E10" s="34" t="n">
        <x:f>SUM(E7:E9)</x:f>
        <x:v>296383.89182840486</x:v>
      </x:c>
      <x:c r="F10" s="34" t="n">
        <x:f>SUM(F7:F9)</x:f>
        <x:v>398275.6747936097</x:v>
      </x:c>
      <x:c r="G10" s="34" t="n">
        <x:f>SUM(G7:G9)</x:f>
        <x:v>499018.08349271445</x:v>
      </x:c>
      <x:c r="H10" s="34" t="n">
        <x:f>SUM(H7:H9)</x:f>
        <x:v>589782.7290136222</x:v>
      </x:c>
    </x:row>
    <x:row r="11" ht="21" customHeight="1">
      <x:c r="A11" s="2" t="str">
        <x:v>Refunds</x:v>
      </x:c>
      <x:c r="B11" s="2" t="str">
        <x:v>$ 000</x:v>
      </x:c>
      <x:c r="C11" s="4" t="n">
        <x:f>'Source actuals'!G7</x:f>
        <x:v>0</x:v>
      </x:c>
      <x:c r="D11" s="4" t="n">
        <x:f>'Source actuals'!K7</x:f>
        <x:v>2294.6566339750093</x:v>
      </x:c>
      <x:c r="E11" s="4" t="n">
        <x:f>D11+'Forecast workings'!F30</x:f>
        <x:v>4111.513493742705</x:v>
      </x:c>
      <x:c r="F11" s="4" t="n">
        <x:f>F10*'Forecast workings'!D15</x:f>
        <x:v>5974.135121904145</x:v>
      </x:c>
      <x:c r="G11" s="4" t="n">
        <x:f>G10*'Forecast workings'!E15</x:f>
        <x:v>7984.289335883432</x:v>
      </x:c>
      <x:c r="H11" s="4" t="n">
        <x:f>H10*'Forecast workings'!F15</x:f>
        <x:v>9436.523664217955</x:v>
      </x:c>
    </x:row>
    <x:row r="12" ht="21" customHeight="1">
      <x:c r="A12" s="20" t="str">
        <x:v>Net Revenue</x:v>
      </x:c>
      <x:c r="B12" s="20" t="str">
        <x:v>$ 000</x:v>
      </x:c>
      <x:c r="C12" s="34" t="n">
        <x:f>'Source actuals'!G8</x:f>
        <x:v>61862.000042216445</x:v>
      </x:c>
      <x:c r="D12" s="34" t="n">
        <x:f>'Source actuals'!K8</x:f>
        <x:v>172965.44454325017</x:v>
      </x:c>
      <x:c r="E12" s="34" t="n">
        <x:f>E10-E11</x:f>
        <x:v>292272.3783346622</x:v>
      </x:c>
      <x:c r="F12" s="34" t="n">
        <x:f>F10-F11</x:f>
        <x:v>392301.53967170557</x:v>
      </x:c>
      <x:c r="G12" s="34" t="n">
        <x:f>G10-G11</x:f>
        <x:v>491033.794156831</x:v>
      </x:c>
      <x:c r="H12" s="34" t="n">
        <x:f>H10-H11</x:f>
        <x:v>580346.2053494042</x:v>
      </x:c>
    </x:row>
    <x:row r="13" ht="21" customHeight="1">
      <x:c r="A13" s="2"/>
      <x:c r="B13" s="2"/>
      <x:c r="C13" s="4"/>
      <x:c r="D13" s="4"/>
      <x:c r="E13" s="4"/>
      <x:c r="F13" s="4"/>
      <x:c r="G13" s="4"/>
      <x:c r="H13" s="4"/>
    </x:row>
    <x:row r="14" ht="21" customHeight="1">
      <x:c r="A14" s="13" t="str">
        <x:v>Operating expenses</x:v>
      </x:c>
      <x:c r="B14" s="13"/>
      <x:c r="C14" s="14"/>
      <x:c r="D14" s="14"/>
      <x:c r="E14" s="14"/>
      <x:c r="F14" s="14"/>
      <x:c r="G14" s="14"/>
      <x:c r="H14" s="14"/>
    </x:row>
    <x:row r="15" ht="21" customHeight="1">
      <x:c r="A15" s="2" t="str">
        <x:v>Content development costs</x:v>
      </x:c>
      <x:c r="B15" s="2" t="str">
        <x:v>$ 000</x:v>
      </x:c>
      <x:c r="C15" s="4" t="n">
        <x:f>'Source actuals'!G11</x:f>
        <x:v>94863.20189872824</x:v>
      </x:c>
      <x:c r="D15" s="4" t="n">
        <x:f>'Source actuals'!K11</x:f>
        <x:v>50484.939813752884</x:v>
      </x:c>
      <x:c r="E15" s="4" t="n">
        <x:f>D15+'Forecast workings'!F32</x:f>
        <x:v>61009.700172646764</x:v>
      </x:c>
      <x:c r="F15" s="4" t="n">
        <x:f>E15*(1+'Forecast workings'!D17)</x:f>
        <x:v>73211.64020717611</x:v>
      </x:c>
      <x:c r="G15" s="4" t="n">
        <x:f>F15*(1+'Forecast workings'!E17)</x:f>
        <x:v>87853.96824861133</x:v>
      </x:c>
      <x:c r="H15" s="4" t="n">
        <x:f>G15*(1+'Forecast workings'!F17)</x:f>
        <x:v>101032.06348590303</x:v>
      </x:c>
    </x:row>
    <x:row r="16" ht="21" customHeight="1">
      <x:c r="A16" s="2" t="str">
        <x:v>Salary</x:v>
      </x:c>
      <x:c r="B16" s="2" t="str">
        <x:v>$ 000</x:v>
      </x:c>
      <x:c r="C16" s="4" t="n">
        <x:f>'Source actuals'!G12</x:f>
        <x:v>76070.54207483545</x:v>
      </x:c>
      <x:c r="D16" s="4" t="n">
        <x:f>'Source actuals'!K12</x:f>
        <x:v>31792.600322567047</x:v>
      </x:c>
      <x:c r="E16" s="4" t="n">
        <x:f>D16+'Forecast workings'!F33</x:f>
        <x:v>35033.72465448483</x:v>
      </x:c>
      <x:c r="F16" s="4" t="n">
        <x:f>E16*(1+'Forecast workings'!D18)</x:f>
        <x:v>38537.097119933314</x:v>
      </x:c>
      <x:c r="G16" s="4" t="n">
        <x:f>F16*(1+'Forecast workings'!E18)</x:f>
        <x:v>43161.54877432532</x:v>
      </x:c>
      <x:c r="H16" s="4" t="n">
        <x:f>G16*(1+'Forecast workings'!F18)</x:f>
        <x:v>47477.70365175785</x:v>
      </x:c>
    </x:row>
    <x:row r="17" ht="21" customHeight="1">
      <x:c r="A17" s="2" t="str">
        <x:v>Marketing</x:v>
      </x:c>
      <x:c r="B17" s="2" t="str">
        <x:v>$ 000</x:v>
      </x:c>
      <x:c r="C17" s="4" t="n">
        <x:f>'Source actuals'!G13</x:f>
        <x:v>66384.30152731179</x:v>
      </x:c>
      <x:c r="D17" s="4" t="n">
        <x:f>'Source actuals'!K13</x:f>
        <x:v>88602.6734877226</x:v>
      </x:c>
      <x:c r="E17" s="4" t="n">
        <x:f>D17+'Forecast workings'!F34</x:f>
        <x:v>133281.01551676326</x:v>
      </x:c>
      <x:c r="F17" s="4" t="n">
        <x:f>F12*'Forecast workings'!D20</x:f>
        <x:v>149074.58507524812</x:v>
      </x:c>
      <x:c r="G17" s="4" t="n">
        <x:f>G12*'Forecast workings'!E20</x:f>
        <x:v>176772.16589645916</x:v>
      </x:c>
      <x:c r="H17" s="4" t="n">
        <x:f>H12*'Forecast workings'!F20</x:f>
        <x:v>197317.70981879745</x:v>
      </x:c>
    </x:row>
    <x:row r="18" ht="21" customHeight="1">
      <x:c r="A18" s="2" t="str">
        <x:v>Tech &amp; Product</x:v>
      </x:c>
      <x:c r="B18" s="2" t="str">
        <x:v>$ 000</x:v>
      </x:c>
      <x:c r="C18" s="4" t="n">
        <x:f>'Source actuals'!G14</x:f>
        <x:v>223684.54067132084</x:v>
      </x:c>
      <x:c r="D18" s="4" t="n">
        <x:f>'Source actuals'!K14</x:f>
        <x:v>92038.58518327345</x:v>
      </x:c>
      <x:c r="E18" s="4" t="n">
        <x:f>D18+'Forecast workings'!F35</x:f>
        <x:v>133362.64703036397</x:v>
      </x:c>
      <x:c r="F18" s="4" t="n">
        <x:f>E18*(1+'Forecast workings'!D21)</x:f>
        <x:v>157367.92349582948</x:v>
      </x:c>
      <x:c r="G18" s="4" t="n">
        <x:f>F18*(1+'Forecast workings'!E21)</x:f>
        <x:v>180973.1120202039</x:v>
      </x:c>
      <x:c r="H18" s="4" t="n">
        <x:f>G18*(1+'Forecast workings'!F21)</x:f>
        <x:v>202689.8854626284</x:v>
      </x:c>
    </x:row>
    <x:row r="19" ht="21" customHeight="1">
      <x:c r="A19" s="2" t="str">
        <x:v>Other G&amp;A</x:v>
      </x:c>
      <x:c r="B19" s="2" t="str">
        <x:v>$ 000</x:v>
      </x:c>
      <x:c r="C19" s="4" t="n">
        <x:f>'Source actuals'!G15</x:f>
        <x:v>32984.326079161925</x:v>
      </x:c>
      <x:c r="D19" s="4" t="n">
        <x:f>'Source actuals'!K15</x:f>
        <x:v>20002.64087309215</x:v>
      </x:c>
      <x:c r="E19" s="4" t="n">
        <x:f>D19+'Forecast workings'!F36</x:f>
        <x:v>22117.923807622316</x:v>
      </x:c>
      <x:c r="F19" s="4" t="n">
        <x:f>E19*(1+'Forecast workings'!D22)</x:f>
        <x:v>24329.716188384547</x:v>
      </x:c>
      <x:c r="G19" s="4" t="n">
        <x:f>F19*(1+'Forecast workings'!E22)</x:f>
        <x:v>26762.687807223003</x:v>
      </x:c>
      <x:c r="H19" s="4" t="n">
        <x:f>G19*(1+'Forecast workings'!F22)</x:f>
        <x:v>28903.702831800845</x:v>
      </x:c>
    </x:row>
    <x:row r="20" ht="21" customHeight="1">
      <x:c r="A20" s="20" t="str">
        <x:v>Total Opex</x:v>
      </x:c>
      <x:c r="B20" s="20" t="str">
        <x:v>$ 000</x:v>
      </x:c>
      <x:c r="C20" s="34" t="n">
        <x:f>'Source actuals'!G16</x:f>
        <x:v>493986.9122513582</x:v>
      </x:c>
      <x:c r="D20" s="34" t="n">
        <x:f>'Source actuals'!K16</x:f>
        <x:v>282921.4396804081</x:v>
      </x:c>
      <x:c r="E20" s="34" t="n">
        <x:f>SUM(E15:E19)</x:f>
        <x:v>384805.0111818811</x:v>
      </x:c>
      <x:c r="F20" s="34" t="n">
        <x:f>SUM(F15:F19)</x:f>
        <x:v>442520.9620865716</x:v>
      </x:c>
      <x:c r="G20" s="34" t="n">
        <x:f>SUM(G15:G19)</x:f>
        <x:v>515523.4827468227</x:v>
      </x:c>
      <x:c r="H20" s="34" t="n">
        <x:f>SUM(H15:H19)</x:f>
        <x:v>577421.0652508875</x:v>
      </x:c>
    </x:row>
    <x:row r="21" ht="21" customHeight="1">
      <x:c r="A21" s="2"/>
      <x:c r="B21" s="2"/>
      <x:c r="C21" s="4"/>
      <x:c r="D21" s="4"/>
      <x:c r="E21" s="4"/>
      <x:c r="F21" s="4"/>
      <x:c r="G21" s="4"/>
      <x:c r="H21" s="4"/>
    </x:row>
    <x:row r="22" ht="21" customHeight="1">
      <x:c r="A22" s="23" t="str">
        <x:v>EBITDA (Net Revenue − Total Opex)</x:v>
      </x:c>
      <x:c r="B22" s="23" t="str">
        <x:v>$ 000</x:v>
      </x:c>
      <x:c r="C22" s="35" t="n">
        <x:f>'Source actuals'!G18</x:f>
        <x:v>-432124.91220914177</x:v>
      </x:c>
      <x:c r="D22" s="35" t="n">
        <x:f>'Source actuals'!K18</x:f>
        <x:v>-109955.99513715795</x:v>
      </x:c>
      <x:c r="E22" s="35" t="n">
        <x:f>E12-E20</x:f>
        <x:v>-92532.63284721895</x:v>
      </x:c>
      <x:c r="F22" s="35" t="n">
        <x:f>F12-F20</x:f>
        <x:v>-50219.42241486604</x:v>
      </x:c>
      <x:c r="G22" s="35" t="n">
        <x:f>G12-G20</x:f>
        <x:v>-24489.68858999171</x:v>
      </x:c>
      <x:c r="H22" s="35" t="n">
        <x:f>H12-H20</x:f>
        <x:v>2925.140098516713</x:v>
      </x:c>
    </x:row>
    <x:row r="23" ht="21" customHeight="1">
      <x:c r="A23" s="28" t="str">
        <x:v>EBITDA Margin (% of Net Revenue)</x:v>
      </x:c>
      <x:c r="B23" s="28" t="str">
        <x:v>%</x:v>
      </x:c>
      <x:c r="C23" s="36" t="n">
        <x:f>'Source actuals'!G19</x:f>
        <x:v>-6.9853045797783295</x:v>
      </x:c>
      <x:c r="D23" s="36" t="n">
        <x:f>'Source actuals'!K19</x:f>
        <x:v>-0.6357107653931613</x:v>
      </x:c>
      <x:c r="E23" s="36" t="n">
        <x:f>E22/E12</x:f>
        <x:v>-0.3165972555273965</x:v>
      </x:c>
      <x:c r="F23" s="36" t="n">
        <x:f>F22/F12</x:f>
        <x:v>-0.12801230007124562</x:v>
      </x:c>
      <x:c r="G23" s="36" t="n">
        <x:f>G22/G12</x:f>
        <x:v>-0.04987373350146643</x:v>
      </x:c>
      <x:c r="H23" s="36" t="n">
        <x:f>H22/H12</x:f>
        <x:v>0.005040336391543386</x:v>
      </x:c>
    </x:row>
    <x:row r="24" ht="21" customHeight="1">
      <x:c r="A24" s="2"/>
      <x:c r="B24" s="2"/>
      <x:c r="C24" s="4"/>
      <x:c r="D24" s="4"/>
      <x:c r="E24" s="4"/>
      <x:c r="F24" s="4"/>
      <x:c r="G24" s="4"/>
      <x:c r="H24" s="4"/>
    </x:row>
    <x:row r="25" ht="21" customHeight="1">
      <x:c r="A25" s="28" t="str">
        <x:v>Net revenue growth</x:v>
      </x:c>
      <x:c r="B25" s="28" t="str">
        <x:v>%</x:v>
      </x:c>
      <x:c r="C25" s="32" t="str">
        <x:v>n.a.</x:v>
      </x:c>
      <x:c r="D25" s="32" t="str">
        <x:v>n.a.</x:v>
      </x:c>
      <x:c r="E25" s="37" t="n">
        <x:f>E12/C12-1</x:f>
        <x:v>3.724586630487326</x:v>
      </x:c>
      <x:c r="F25" s="37" t="n">
        <x:f>F12/E12-1</x:f>
        <x:v>0.34224637273970004</x:v>
      </x:c>
      <x:c r="G25" s="37" t="n">
        <x:f>G12/F12-1</x:f>
        <x:v>0.2516743996665134</x:v>
      </x:c>
      <x:c r="H25" s="37" t="n">
        <x:f>H12/G12-1</x:f>
        <x:v>0.1818864857273914</x:v>
      </x:c>
    </x:row>
    <x:row r="26" ht="21" customHeight="1">
      <x:c r="A26" s="2"/>
      <x:c r="B26" s="2"/>
      <x:c r="C26" s="4"/>
      <x:c r="D26" s="4"/>
      <x:c r="E26" s="4"/>
      <x:c r="F26" s="4"/>
      <x:c r="G26" s="4"/>
      <x:c r="H26" s="4"/>
    </x:row>
    <x:row r="27" ht="21" customHeight="1">
      <x:c r="A27" s="2"/>
      <x:c r="B27" s="2"/>
      <x:c r="C27" s="4"/>
      <x:c r="D27" s="4"/>
      <x:c r="E27" s="4"/>
      <x:c r="F27" s="4"/>
      <x:c r="G27" s="4"/>
      <x:c r="H27" s="4"/>
    </x:row>
    <x:row r="28" ht="21" customHeight="1">
      <x:c r="A28" s="13" t="str">
        <x:v>Basis of preparation</x:v>
      </x:c>
      <x:c r="B28" s="13"/>
      <x:c r="C28" s="14"/>
      <x:c r="D28" s="14"/>
      <x:c r="E28" s="14"/>
      <x:c r="F28" s="14"/>
      <x:c r="G28" s="14"/>
      <x:c r="H28" s="14"/>
    </x:row>
    <x:row r="29" ht="21" customHeight="1">
      <x:c r="A29" s="2" t="str">
        <x:v>FY26 = eight months as supplied + a separate estimate for the remaining four months.</x:v>
      </x:c>
      <x:c r="B29" s="2"/>
      <x:c r="C29" s="2"/>
      <x:c r="D29" s="2"/>
      <x:c r="E29" s="2"/>
      <x:c r="F29" s="2"/>
      <x:c r="G29" s="2"/>
      <x:c r="H29" s="2"/>
    </x:row>
    <x:row r="30" ht="21" customHeight="1">
      <x:c r="A30" s="2" t="str">
        <x:v>Revenue uses the October–November monthly rate. Costs use July–November averages plus a buffer.</x:v>
      </x:c>
      <x:c r="B30" s="2"/>
      <x:c r="C30" s="2"/>
      <x:c r="D30" s="2"/>
      <x:c r="E30" s="2"/>
      <x:c r="F30" s="2"/>
      <x:c r="G30" s="2"/>
      <x:c r="H30" s="2"/>
    </x:row>
    <x:row r="31" ht="21" customHeight="1">
      <x:c r="A31" s="2" t="str">
        <x:v>FY27–FY29 costs grow from the full FY26 estimate, retaining an allowance for earlier high spending.</x:v>
      </x:c>
      <x:c r="B31" s="2"/>
      <x:c r="C31" s="2"/>
      <x:c r="D31" s="2"/>
      <x:c r="E31" s="2"/>
      <x:c r="F31" s="2"/>
      <x:c r="G31" s="2"/>
      <x:c r="H31" s="2"/>
    </x:row>
    <x:row r="32" ht="21" customHeight="1">
      <x:c r="A32" s="2" t="str">
        <x:v>Growth and cost rates are planning judgments based on this sheet, not an approved company budget.</x:v>
      </x:c>
      <x:c r="B32" s="2"/>
      <x:c r="C32" s="2"/>
      <x:c r="D32" s="2"/>
      <x:c r="E32" s="2"/>
      <x:c r="F32" s="2"/>
      <x:c r="G32" s="2"/>
      <x:c r="H32" s="2"/>
    </x:row>
    <x:row r="33" ht="21" customHeight="1">
      <x:c r="A33" s="2" t="str">
        <x:v>The source does not explain the earlier cost spikes. Their full recurrence would worsen these results.</x:v>
      </x:c>
      <x:c r="B33" s="2"/>
      <x:c r="C33" s="2"/>
      <x:c r="D33" s="2"/>
      <x:c r="E33" s="2"/>
      <x:c r="F33" s="2"/>
      <x:c r="G33" s="2"/>
      <x:c r="H33" s="2"/>
    </x:row>
    <x:row r="34" ht="21" customHeight="1">
      <x:c r="A34" s="2" t="str">
        <x:v>Edit blue inputs in Forecast workings. All forecast amounts are live formulas; select any cell to inspect.</x:v>
      </x:c>
      <x:c r="B34" s="2"/>
      <x:c r="C34" s="2"/>
      <x:c r="D34" s="2"/>
      <x:c r="E34" s="2"/>
      <x:c r="F34" s="2"/>
      <x:c r="G34" s="2"/>
      <x:c r="H34" s="2"/>
    </x:row>
    <x:row r="35" ht="21" customHeight="1">
      <x:c r="A35" s="2" t="str">
        <x:v>A formula guide and the supporting assumptions are included in Forecast workings.</x:v>
      </x:c>
      <x:c r="B35" s="2"/>
      <x:c r="C35" s="2"/>
      <x:c r="D35" s="2"/>
      <x:c r="E35" s="2"/>
      <x:c r="F35" s="2"/>
      <x:c r="G35" s="2"/>
      <x:c r="H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1996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" hidden="0" customWidth="1"/>
    <x:col min="8" max="8" width="79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5" t="str">
        <x:v>Forecast assumptions and workings</x:v>
      </x:c>
      <x:c r="B2" s="2"/>
      <x:c r="C2" s="2"/>
      <x:c r="D2" s="2"/>
      <x:c r="E2" s="2"/>
      <x:c r="F2" s="2"/>
      <x:c r="G2" s="2"/>
      <x:c r="H2" s="2"/>
    </x:row>
    <x:row r="3" ht="21" customHeight="1">
      <x:c r="A3" s="2" t="str">
        <x:v>Blue / pale yellow = editable assumptions. Green = links. Black = calculations.</x:v>
      </x:c>
      <x:c r="B3" s="2"/>
      <x:c r="C3" s="2"/>
      <x:c r="D3" s="2"/>
      <x:c r="E3" s="2"/>
      <x:c r="F3" s="2"/>
      <x:c r="G3" s="2"/>
      <x:c r="H3" s="2"/>
    </x:row>
    <x:row r="4" ht="21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10" t="str">
        <x:v>Driver</x:v>
      </x:c>
      <x:c r="B5" s="10" t="str">
        <x:v>UoM</x:v>
      </x:c>
      <x:c r="C5" s="10" t="str">
        <x:v>FY26
Dec–Mar</x:v>
      </x:c>
      <x:c r="D5" s="10" t="str">
        <x:v>FY27</x:v>
      </x:c>
      <x:c r="E5" s="10" t="str">
        <x:v>FY28</x:v>
      </x:c>
      <x:c r="F5" s="10" t="str">
        <x:v>FY29</x:v>
      </x:c>
      <x:c r="G5" s="2"/>
      <x:c r="H5" s="17" t="str">
        <x:v>Reason for assumption</x:v>
      </x:c>
    </x:row>
    <x:row r="6" ht="32" customHeight="1">
      <x:c r="A6" s="2" t="str">
        <x:v>Actual months</x:v>
      </x:c>
      <x:c r="B6" s="2" t="str">
        <x:v>months</x:v>
      </x:c>
      <x:c r="C6" s="46" t="n">
        <x:v>8</x:v>
      </x:c>
      <x:c r="D6" s="47"/>
      <x:c r="E6" s="47"/>
      <x:c r="F6" s="47"/>
      <x:c r="G6" s="2"/>
      <x:c r="H6" s="45" t="str">
        <x:v>April–November actuals: eight months, as specified by the user.</x:v>
      </x:c>
    </x:row>
    <x:row r="7" ht="32" customHeight="1">
      <x:c r="A7" s="2" t="str">
        <x:v>Months remaining</x:v>
      </x:c>
      <x:c r="B7" s="2" t="str">
        <x:v>months</x:v>
      </x:c>
      <x:c r="C7" s="48" t="n">
        <x:f>C10-C6</x:f>
        <x:v>4</x:v>
      </x:c>
      <x:c r="D7" s="47"/>
      <x:c r="E7" s="47"/>
      <x:c r="F7" s="47"/>
      <x:c r="G7" s="2"/>
      <x:c r="H7" s="45" t="str">
        <x:v>December–March: full year less months already reported.</x:v>
      </x:c>
    </x:row>
    <x:row r="8" ht="32" customHeight="1">
      <x:c r="A8" s="2" t="str">
        <x:v>Recent revenue period</x:v>
      </x:c>
      <x:c r="B8" s="2" t="str">
        <x:v>months</x:v>
      </x:c>
      <x:c r="C8" s="46" t="n">
        <x:v>2</x:v>
      </x:c>
      <x:c r="D8" s="47"/>
      <x:c r="E8" s="47"/>
      <x:c r="F8" s="47"/>
      <x:c r="G8" s="2"/>
      <x:c r="H8" s="45" t="str">
        <x:v>October–November is the latest revenue run rate in the source.</x:v>
      </x:c>
    </x:row>
    <x:row r="9" ht="32" customHeight="1">
      <x:c r="A9" s="2" t="str">
        <x:v>Recent cost period</x:v>
      </x:c>
      <x:c r="B9" s="2" t="str">
        <x:v>months</x:v>
      </x:c>
      <x:c r="C9" s="46" t="n">
        <x:v>5</x:v>
      </x:c>
      <x:c r="D9" s="47"/>
      <x:c r="E9" s="47"/>
      <x:c r="F9" s="47"/>
      <x:c r="G9" s="2"/>
      <x:c r="H9" s="45" t="str">
        <x:v>July–November smooths unusually low latest-month costs.</x:v>
      </x:c>
    </x:row>
    <x:row r="10" ht="32" customHeight="1">
      <x:c r="A10" s="2" t="str">
        <x:v>Full financial year</x:v>
      </x:c>
      <x:c r="B10" s="2" t="str">
        <x:v>months</x:v>
      </x:c>
      <x:c r="C10" s="46" t="n">
        <x:v>12</x:v>
      </x:c>
      <x:c r="D10" s="47"/>
      <x:c r="E10" s="47"/>
      <x:c r="F10" s="47"/>
      <x:c r="G10" s="2"/>
      <x:c r="H10" s="45" t="str">
        <x:v>April–March fiscal year, as labelled in the supplied sheet.</x:v>
      </x:c>
    </x:row>
    <x:row r="11" ht="32" customHeight="1">
      <x:c r="A11" s="2" t="str">
        <x:v>Subscription growth / uplift</x:v>
      </x:c>
      <x:c r="B11" s="2" t="str">
        <x:v>%</x:v>
      </x:c>
      <x:c r="C11" s="49" t="n">
        <x:v>0.05</x:v>
      </x:c>
      <x:c r="D11" s="49" t="n">
        <x:v>0.35</x:v>
      </x:c>
      <x:c r="E11" s="49" t="n">
        <x:v>0.25</x:v>
      </x:c>
      <x:c r="F11" s="49" t="n">
        <x:v>0.18</x:v>
      </x:c>
      <x:c r="G11" s="2"/>
      <x:c r="H11" s="45" t="str">
        <x:v>FY26 remainder: 5% above recent monthly sales. Annual growth then eases to 35%, 25%, 18%.</x:v>
      </x:c>
    </x:row>
    <x:row r="12" ht="32" customHeight="1">
      <x:c r="A12" s="2" t="str">
        <x:v>Micro-transactions: remainder uplift</x:v>
      </x:c>
      <x:c r="B12" s="2" t="str">
        <x:v>%</x:v>
      </x:c>
      <x:c r="C12" s="49" t="n">
        <x:v>0.05</x:v>
      </x:c>
      <x:c r="D12" s="50"/>
      <x:c r="E12" s="50"/>
      <x:c r="F12" s="50"/>
      <x:c r="G12" s="2"/>
      <x:c r="H12" s="45" t="str">
        <x:v>FY26 remainder: 5% above the recent monthly average; no compounding within four months.</x:v>
      </x:c>
    </x:row>
    <x:row r="13" ht="32" customHeight="1">
      <x:c r="A13" s="2" t="str">
        <x:v>Micro-transactions / subscription</x:v>
      </x:c>
      <x:c r="B13" s="2" t="str">
        <x:v>%</x:v>
      </x:c>
      <x:c r="C13" s="50"/>
      <x:c r="D13" s="49" t="n">
        <x:v>0.105</x:v>
      </x:c>
      <x:c r="E13" s="49" t="n">
        <x:v>0.108</x:v>
      </x:c>
      <x:c r="F13" s="49" t="n">
        <x:v>0.11</x:v>
      </x:c>
      <x:c r="G13" s="2"/>
      <x:c r="H13" s="45" t="str">
        <x:v>Recent ratio is about 10.5%. Modest improvement to 11% by FY29; no separate volume data.</x:v>
      </x:c>
    </x:row>
    <x:row r="14" ht="32" customHeight="1">
      <x:c r="A14" s="2" t="str">
        <x:v>Ad revenue growth / uplift</x:v>
      </x:c>
      <x:c r="B14" s="2" t="str">
        <x:v>%</x:v>
      </x:c>
      <x:c r="C14" s="49" t="n">
        <x:v>-0.1</x:v>
      </x:c>
      <x:c r="D14" s="49" t="n">
        <x:v>0</x:v>
      </x:c>
      <x:c r="E14" s="49" t="n">
        <x:v>0.05</x:v>
      </x:c>
      <x:c r="F14" s="49" t="n">
        <x:v>0.05</x:v>
      </x:c>
      <x:c r="G14" s="2"/>
      <x:c r="H14" s="45" t="str">
        <x:v>Remainder falls 10%. FY27 resets to that monthly rate × 12; then only 5% annual recovery.</x:v>
      </x:c>
    </x:row>
    <x:row r="15" ht="32" customHeight="1">
      <x:c r="A15" s="2" t="str">
        <x:v>Refunds / gross revenue</x:v>
      </x:c>
      <x:c r="B15" s="2" t="str">
        <x:v>%</x:v>
      </x:c>
      <x:c r="C15" s="49" t="n">
        <x:v>0.015</x:v>
      </x:c>
      <x:c r="D15" s="49" t="n">
        <x:v>0.015</x:v>
      </x:c>
      <x:c r="E15" s="49" t="n">
        <x:v>0.016</x:v>
      </x:c>
      <x:c r="F15" s="49" t="n">
        <x:v>0.016</x:v>
      </x:c>
      <x:c r="G15" s="2"/>
      <x:c r="H15" s="45" t="str">
        <x:v>Recent refunds are about 1.3% of gross sales. Allow 1.5%, increasing to 1.6%.</x:v>
      </x:c>
    </x:row>
    <x:row r="16" ht="21" customHeight="1">
      <x:c r="A16" s="2"/>
      <x:c r="B16" s="2"/>
      <x:c r="C16" s="51"/>
      <x:c r="D16" s="51"/>
      <x:c r="E16" s="51"/>
      <x:c r="F16" s="51"/>
      <x:c r="G16" s="2"/>
      <x:c r="H16" s="2"/>
    </x:row>
    <x:row r="17" ht="32" customHeight="1">
      <x:c r="A17" s="2" t="str">
        <x:v>Content cost uplift / growth</x:v>
      </x:c>
      <x:c r="B17" s="2" t="str">
        <x:v>%</x:v>
      </x:c>
      <x:c r="C17" s="49" t="n">
        <x:v>0.15</x:v>
      </x:c>
      <x:c r="D17" s="49" t="n">
        <x:v>0.2</x:v>
      </x:c>
      <x:c r="E17" s="49" t="n">
        <x:v>0.2</x:v>
      </x:c>
      <x:c r="F17" s="49" t="n">
        <x:v>0.15</x:v>
      </x:c>
      <x:c r="G17" s="2"/>
      <x:c r="H17" s="45" t="str">
        <x:v>Remainder: five-month cost average +15%. Later years grow the entire prior-year cost base.</x:v>
      </x:c>
    </x:row>
    <x:row r="18" ht="32" customHeight="1">
      <x:c r="A18" s="2" t="str">
        <x:v>Salary uplift / growth</x:v>
      </x:c>
      <x:c r="B18" s="2" t="str">
        <x:v>%</x:v>
      </x:c>
      <x:c r="C18" s="49" t="n">
        <x:v>0.15</x:v>
      </x:c>
      <x:c r="D18" s="49" t="n">
        <x:v>0.1</x:v>
      </x:c>
      <x:c r="E18" s="49" t="n">
        <x:v>0.12</x:v>
      </x:c>
      <x:c r="F18" s="49" t="n">
        <x:v>0.1</x:v>
      </x:c>
      <x:c r="G18" s="2"/>
      <x:c r="H18" s="45" t="str">
        <x:v>Remainder: five-month average +15%. Full-year base retained for hiring and pay increases.</x:v>
      </x:c>
    </x:row>
    <x:row r="19" ht="32" customHeight="1">
      <x:c r="A19" s="2" t="str">
        <x:v>Marketing: remainder uplift</x:v>
      </x:c>
      <x:c r="B19" s="2" t="str">
        <x:v>%</x:v>
      </x:c>
      <x:c r="C19" s="49" t="n">
        <x:v>0.05</x:v>
      </x:c>
      <x:c r="D19" s="50"/>
      <x:c r="E19" s="50"/>
      <x:c r="F19" s="50"/>
      <x:c r="G19" s="2"/>
      <x:c r="H19" s="45" t="str">
        <x:v>Remainder: five-month average +5%; recent monthly marketing spend has been fairly stable.</x:v>
      </x:c>
    </x:row>
    <x:row r="20" ht="32" customHeight="1">
      <x:c r="A20" s="2" t="str">
        <x:v>Marketing / net revenue</x:v>
      </x:c>
      <x:c r="B20" s="2" t="str">
        <x:v>%</x:v>
      </x:c>
      <x:c r="C20" s="50"/>
      <x:c r="D20" s="49" t="n">
        <x:v>0.38</x:v>
      </x:c>
      <x:c r="E20" s="49" t="n">
        <x:v>0.36</x:v>
      </x:c>
      <x:c r="F20" s="49" t="n">
        <x:v>0.34</x:v>
      </x:c>
      <x:c r="G20" s="2"/>
      <x:c r="H20" s="45" t="str">
        <x:v>Recent ratio is about 43%. Gradual efficiency to 38%, 36%, 34%, rather than a sudden cut.</x:v>
      </x:c>
    </x:row>
    <x:row r="21" ht="32" customHeight="1">
      <x:c r="A21" s="2" t="str">
        <x:v>Tech &amp; Product uplift / growth</x:v>
      </x:c>
      <x:c r="B21" s="2" t="str">
        <x:v>%</x:v>
      </x:c>
      <x:c r="C21" s="49" t="n">
        <x:v>0.1</x:v>
      </x:c>
      <x:c r="D21" s="49" t="n">
        <x:v>0.18</x:v>
      </x:c>
      <x:c r="E21" s="49" t="n">
        <x:v>0.15</x:v>
      </x:c>
      <x:c r="F21" s="49" t="n">
        <x:v>0.12</x:v>
      </x:c>
      <x:c r="G21" s="2"/>
      <x:c r="H21" s="45" t="str">
        <x:v>Remainder: five-month average +10%. Annual growth of 18%, 15%, 12% allows for scaling.</x:v>
      </x:c>
    </x:row>
    <x:row r="22" ht="32" customHeight="1">
      <x:c r="A22" s="2" t="str">
        <x:v>G&amp;A uplift / growth</x:v>
      </x:c>
      <x:c r="B22" s="2" t="str">
        <x:v>%</x:v>
      </x:c>
      <x:c r="C22" s="49" t="n">
        <x:v>0.15</x:v>
      </x:c>
      <x:c r="D22" s="49" t="n">
        <x:v>0.1</x:v>
      </x:c>
      <x:c r="E22" s="49" t="n">
        <x:v>0.1</x:v>
      </x:c>
      <x:c r="F22" s="49" t="n">
        <x:v>0.08</x:v>
      </x:c>
      <x:c r="G22" s="2"/>
      <x:c r="H22" s="45" t="str">
        <x:v>Remainder: five-month average +15%. Prior full-year base grows 10%, 10%, 8% thereafter.</x:v>
      </x:c>
    </x:row>
    <x:row r="23" ht="21" customHeight="1">
      <x:c r="A23" s="2"/>
      <x:c r="B23" s="2"/>
      <x:c r="C23" s="2"/>
      <x:c r="D23" s="2"/>
      <x:c r="E23" s="2"/>
      <x:c r="F23" s="2"/>
      <x:c r="G23" s="2"/>
      <x:c r="H23" s="2"/>
    </x:row>
    <x:row r="24" ht="21" customHeight="1">
      <x:c r="A24" s="13" t="str">
        <x:v>FY26 remaining four months</x:v>
      </x:c>
      <x:c r="B24" s="13"/>
      <x:c r="C24" s="13"/>
      <x:c r="D24" s="13"/>
      <x:c r="E24" s="13"/>
      <x:c r="F24" s="13"/>
      <x:c r="G24" s="2"/>
      <x:c r="H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</x:row>
    <x:row r="26" ht="36" customHeight="1">
      <x:c r="A26" s="10" t="str">
        <x:v>Particulars</x:v>
      </x:c>
      <x:c r="B26" s="10" t="str">
        <x:v>UoM</x:v>
      </x:c>
      <x:c r="C26" s="10" t="str">
        <x:v>Monthly base</x:v>
      </x:c>
      <x:c r="D26" s="10" t="str">
        <x:v>Uplift / rate</x:v>
      </x:c>
      <x:c r="E26" s="10" t="str">
        <x:v>Monthly estimate</x:v>
      </x:c>
      <x:c r="F26" s="10" t="str">
        <x:v>Four-month total</x:v>
      </x:c>
      <x:c r="G26" s="2"/>
      <x:c r="H26" s="2"/>
    </x:row>
    <x:row r="27" ht="32" customHeight="1">
      <x:c r="A27" s="2" t="str">
        <x:v>Subscription revenue</x:v>
      </x:c>
      <x:c r="B27" s="2" t="str">
        <x:v>$000</x:v>
      </x:c>
      <x:c r="C27" s="55" t="n">
        <x:f>'Source actuals'!J3/$C$8</x:f>
        <x:v>26034.89346802415</x:v>
      </x:c>
      <x:c r="D27" s="59" t="n">
        <x:f>C11</x:f>
        <x:v>0.05</x:v>
      </x:c>
      <x:c r="E27" s="56" t="n">
        <x:f>C27*(1+D27)</x:f>
        <x:v>27336.63814142536</x:v>
      </x:c>
      <x:c r="F27" s="56" t="n">
        <x:f>E27*$C$7</x:f>
        <x:v>109346.55256570144</x:v>
      </x:c>
      <x:c r="G27" s="2"/>
      <x:c r="H27" s="45" t="str">
        <x:v>Revenue base: Oct–Nov total ÷ 2 months.</x:v>
      </x:c>
    </x:row>
    <x:row r="28" ht="21" customHeight="1">
      <x:c r="A28" s="2" t="str">
        <x:v>Micro-transactions</x:v>
      </x:c>
      <x:c r="B28" s="2" t="str">
        <x:v>$000</x:v>
      </x:c>
      <x:c r="C28" s="55" t="n">
        <x:f>'Source actuals'!J4/$C$8</x:f>
        <x:v>2734.59944892339</x:v>
      </x:c>
      <x:c r="D28" s="59" t="n">
        <x:f>C12</x:f>
        <x:v>0.05</x:v>
      </x:c>
      <x:c r="E28" s="56" t="n">
        <x:f>C28*(1+D28)</x:f>
        <x:v>2871.3294213695594</x:v>
      </x:c>
      <x:c r="F28" s="56" t="n">
        <x:f>E28*$C$7</x:f>
        <x:v>11485.317685478238</x:v>
      </x:c>
      <x:c r="G28" s="2"/>
      <x:c r="H28" s="2"/>
    </x:row>
    <x:row r="29" ht="21" customHeight="1">
      <x:c r="A29" s="2" t="str">
        <x:v>Ad revenue</x:v>
      </x:c>
      <x:c r="B29" s="2" t="str">
        <x:v>$000</x:v>
      </x:c>
      <x:c r="C29" s="55" t="n">
        <x:f>'Source actuals'!J5/$C$8</x:f>
        <x:v>81.089</x:v>
      </x:c>
      <x:c r="D29" s="59" t="n">
        <x:f>C14</x:f>
        <x:v>-0.1</x:v>
      </x:c>
      <x:c r="E29" s="56" t="n">
        <x:f>C29*(1+D29)</x:f>
        <x:v>72.98010000000001</x:v>
      </x:c>
      <x:c r="F29" s="56" t="n">
        <x:f>E29*$C$7</x:f>
        <x:v>291.92040000000003</x:v>
      </x:c>
      <x:c r="G29" s="2"/>
      <x:c r="H29" s="2"/>
    </x:row>
    <x:row r="30" ht="32" customHeight="1">
      <x:c r="A30" s="2" t="str">
        <x:v>Refunds</x:v>
      </x:c>
      <x:c r="B30" s="2" t="str">
        <x:v>$000</x:v>
      </x:c>
      <x:c r="C30" s="3"/>
      <x:c r="D30" s="59" t="n">
        <x:f>C15</x:f>
        <x:v>0.015</x:v>
      </x:c>
      <x:c r="E30" s="56" t="n">
        <x:f>SUM(E27:E29)*D30</x:f>
        <x:v>454.2142149419238</x:v>
      </x:c>
      <x:c r="F30" s="56" t="n">
        <x:f>E30*$C$7</x:f>
        <x:v>1816.8568597676951</x:v>
      </x:c>
      <x:c r="G30" s="2"/>
      <x:c r="H30" s="45" t="str">
        <x:v>Refund rate applies to incremental gross revenue; actual refunds stay unchanged.</x:v>
      </x:c>
    </x:row>
    <x:row r="31" ht="21" customHeight="1">
      <x:c r="A31" s="2"/>
      <x:c r="B31" s="2"/>
      <x:c r="C31" s="3"/>
      <x:c r="D31" s="43"/>
      <x:c r="E31" s="3"/>
      <x:c r="F31" s="3"/>
      <x:c r="G31" s="2"/>
      <x:c r="H31" s="2"/>
    </x:row>
    <x:row r="32" ht="32" customHeight="1">
      <x:c r="A32" s="2" t="str">
        <x:v>Content development costs</x:v>
      </x:c>
      <x:c r="B32" s="2" t="str">
        <x:v>$000</x:v>
      </x:c>
      <x:c r="C32" s="55" t="n">
        <x:f>SUM('Source actuals'!I11:J11)/$C$9</x:f>
        <x:v>2287.9913823682355</x:v>
      </x:c>
      <x:c r="D32" s="59" t="n">
        <x:f>C17</x:f>
        <x:v>0.15</x:v>
      </x:c>
      <x:c r="E32" s="56" t="n">
        <x:f>C32*(1+D32)</x:f>
        <x:v>2631.1900897234705</x:v>
      </x:c>
      <x:c r="F32" s="56" t="n">
        <x:f>E32*$C$7</x:f>
        <x:v>10524.760358893882</x:v>
      </x:c>
      <x:c r="G32" s="2"/>
      <x:c r="H32" s="45" t="str">
        <x:v>Cost base: Jul–Sep + Oct–Nov totals, divided by 5 months.</x:v>
      </x:c>
    </x:row>
    <x:row r="33" ht="21" customHeight="1">
      <x:c r="A33" s="2" t="str">
        <x:v>Salary</x:v>
      </x:c>
      <x:c r="B33" s="2" t="str">
        <x:v>$000</x:v>
      </x:c>
      <x:c r="C33" s="55" t="n">
        <x:f>SUM('Source actuals'!I12:J12)/$C$9</x:f>
        <x:v>704.5922460690833</x:v>
      </x:c>
      <x:c r="D33" s="59" t="n">
        <x:f>C18</x:f>
        <x:v>0.15</x:v>
      </x:c>
      <x:c r="E33" s="56" t="n">
        <x:f>C33*(1+D33)</x:f>
        <x:v>810.2810829794457</x:v>
      </x:c>
      <x:c r="F33" s="56" t="n">
        <x:f>E33*$C$7</x:f>
        <x:v>3241.124331917783</x:v>
      </x:c>
      <x:c r="G33" s="2"/>
      <x:c r="H33" s="2"/>
    </x:row>
    <x:row r="34" ht="21" customHeight="1">
      <x:c r="A34" s="2" t="str">
        <x:v>Marketing</x:v>
      </x:c>
      <x:c r="B34" s="2" t="str">
        <x:v>$000</x:v>
      </x:c>
      <x:c r="C34" s="55" t="n">
        <x:f>SUM('Source actuals'!I13:J13)/$C$9</x:f>
        <x:v>10637.70048310492</x:v>
      </x:c>
      <x:c r="D34" s="59" t="n">
        <x:f>C19</x:f>
        <x:v>0.05</x:v>
      </x:c>
      <x:c r="E34" s="56" t="n">
        <x:f>C34*(1+D34)</x:f>
        <x:v>11169.585507260166</x:v>
      </x:c>
      <x:c r="F34" s="56" t="n">
        <x:f>E34*$C$7</x:f>
        <x:v>44678.342029040665</x:v>
      </x:c>
      <x:c r="G34" s="2"/>
      <x:c r="H34" s="2"/>
    </x:row>
    <x:row r="35" ht="32" customHeight="1">
      <x:c r="A35" s="2" t="str">
        <x:v>Tech &amp; Product</x:v>
      </x:c>
      <x:c r="B35" s="2" t="str">
        <x:v>$000</x:v>
      </x:c>
      <x:c r="C35" s="55" t="n">
        <x:f>SUM('Source actuals'!I14:J14)/$C$9</x:f>
        <x:v>9391.832237975117</x:v>
      </x:c>
      <x:c r="D35" s="59" t="n">
        <x:f>C21</x:f>
        <x:v>0.1</x:v>
      </x:c>
      <x:c r="E35" s="56" t="n">
        <x:f>C35*(1+D35)</x:f>
        <x:v>10331.01546177263</x:v>
      </x:c>
      <x:c r="F35" s="56" t="n">
        <x:f>E35*$C$7</x:f>
        <x:v>41324.06184709052</x:v>
      </x:c>
      <x:c r="G35" s="2"/>
      <x:c r="H35" s="45" t="str">
        <x:v>No repetition of the earlier spikes is claimed as fact; the buffers are planning allowances.</x:v>
      </x:c>
    </x:row>
    <x:row r="36" ht="21" customHeight="1">
      <x:c r="A36" s="2" t="str">
        <x:v>Other G&amp;A</x:v>
      </x:c>
      <x:c r="B36" s="2" t="str">
        <x:v>$000</x:v>
      </x:c>
      <x:c r="C36" s="55" t="n">
        <x:f>SUM('Source actuals'!I15:J15)/$C$9</x:f>
        <x:v>459.8441162022098</x:v>
      </x:c>
      <x:c r="D36" s="59" t="n">
        <x:f>C22</x:f>
        <x:v>0.15</x:v>
      </x:c>
      <x:c r="E36" s="56" t="n">
        <x:f>C36*(1+D36)</x:f>
        <x:v>528.8207336325413</x:v>
      </x:c>
      <x:c r="F36" s="56" t="n">
        <x:f>E36*$C$7</x:f>
        <x:v>2115.282934530165</x:v>
      </x:c>
      <x:c r="G36" s="2"/>
      <x:c r="H36" s="2"/>
    </x:row>
    <x:row r="37" ht="21" customHeight="1">
      <x:c r="A37" s="2"/>
      <x:c r="B37" s="2"/>
      <x:c r="C37" s="3"/>
      <x:c r="D37" s="3"/>
      <x:c r="E37" s="3"/>
      <x:c r="F37" s="3"/>
      <x:c r="G37" s="2"/>
      <x:c r="H37" s="2"/>
    </x:row>
    <x:row r="38" ht="21" customHeight="1">
      <x:c r="A38" s="17" t="str">
        <x:v>Gross revenue</x:v>
      </x:c>
      <x:c r="B38" s="17" t="str">
        <x:v>$000</x:v>
      </x:c>
      <x:c r="C38" s="57"/>
      <x:c r="D38" s="57"/>
      <x:c r="E38" s="57"/>
      <x:c r="F38" s="58" t="n">
        <x:f>SUM(F27:F29)</x:f>
        <x:v>121123.79065117968</x:v>
      </x:c>
      <x:c r="G38" s="2"/>
      <x:c r="H38" s="2"/>
    </x:row>
    <x:row r="39" ht="21" customHeight="1">
      <x:c r="A39" s="17" t="str">
        <x:v>Net revenue</x:v>
      </x:c>
      <x:c r="B39" s="17" t="str">
        <x:v>$000</x:v>
      </x:c>
      <x:c r="C39" s="57"/>
      <x:c r="D39" s="57"/>
      <x:c r="E39" s="57"/>
      <x:c r="F39" s="58" t="n">
        <x:f>F38-F30</x:f>
        <x:v>119306.93379141198</x:v>
      </x:c>
      <x:c r="G39" s="2"/>
      <x:c r="H39" s="2"/>
    </x:row>
    <x:row r="40" ht="21" customHeight="1">
      <x:c r="A40" s="17" t="str">
        <x:v>Total Opex</x:v>
      </x:c>
      <x:c r="B40" s="17" t="str">
        <x:v>$000</x:v>
      </x:c>
      <x:c r="C40" s="57"/>
      <x:c r="D40" s="57"/>
      <x:c r="E40" s="57"/>
      <x:c r="F40" s="58" t="n">
        <x:f>SUM(F32:F36)</x:f>
        <x:v>101883.57150147302</x:v>
      </x:c>
      <x:c r="G40" s="2"/>
      <x:c r="H40" s="2"/>
    </x:row>
    <x:row r="41" ht="21" customHeight="1">
      <x:c r="A41" s="17" t="str">
        <x:v>EBITDA</x:v>
      </x:c>
      <x:c r="B41" s="17" t="str">
        <x:v>$000</x:v>
      </x:c>
      <x:c r="C41" s="57"/>
      <x:c r="D41" s="57"/>
      <x:c r="E41" s="57"/>
      <x:c r="F41" s="58" t="n">
        <x:f>F39-F40</x:f>
        <x:v>17423.36228993896</x:v>
      </x:c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13" t="str">
        <x:v>Formula guide</x:v>
      </x:c>
      <x:c r="B44" s="13"/>
      <x:c r="C44" s="13"/>
      <x:c r="D44" s="13"/>
      <x:c r="E44" s="13"/>
      <x:c r="F44" s="13"/>
      <x:c r="G44" s="2"/>
      <x:c r="H44" s="2"/>
    </x:row>
    <x:row r="45" ht="21" customHeight="1">
      <x:c r="A45" s="2" t="str">
        <x:v>FY26 subscription (Annual projections!E7)</x:v>
      </x:c>
      <x:c r="B45" s="2"/>
      <x:c r="C45" s="2"/>
      <x:c r="D45" s="2" t="str">
        <x:v>=D7+'Forecast workings'!F27</x:v>
      </x:c>
      <x:c r="E45" s="2"/>
      <x:c r="F45" s="2"/>
      <x:c r="G45" s="2"/>
      <x:c r="H45" s="2"/>
    </x:row>
    <x:row r="46" ht="21" customHeight="1">
      <x:c r="A46" s="2" t="str">
        <x:v>FY26 monthly cost base (C32)</x:v>
      </x:c>
      <x:c r="B46" s="2"/>
      <x:c r="C46" s="2"/>
      <x:c r="D46" s="2" t="str">
        <x:v>=SUM('Source actuals'!I11:J11)/$C$9</x:v>
      </x:c>
      <x:c r="E46" s="2"/>
      <x:c r="F46" s="2"/>
      <x:c r="G46" s="2"/>
      <x:c r="H46" s="2"/>
    </x:row>
    <x:row r="47" ht="21" customHeight="1">
      <x:c r="A47" s="2" t="str">
        <x:v>FY26 remaining content costs (F32)</x:v>
      </x:c>
      <x:c r="B47" s="2"/>
      <x:c r="C47" s="2"/>
      <x:c r="D47" s="2" t="str">
        <x:v>=E32*$C$7</x:v>
      </x:c>
      <x:c r="E47" s="2"/>
      <x:c r="F47" s="2"/>
      <x:c r="G47" s="2"/>
      <x:c r="H47" s="2"/>
    </x:row>
    <x:row r="48" ht="21" customHeight="1">
      <x:c r="A48" s="2" t="str">
        <x:v>FY27 subscription (Annual projections!F7)</x:v>
      </x:c>
      <x:c r="B48" s="2"/>
      <x:c r="C48" s="2"/>
      <x:c r="D48" s="2" t="str">
        <x:v>=E7*(1+'Forecast workings'!D11)</x:v>
      </x:c>
      <x:c r="E48" s="2"/>
      <x:c r="F48" s="2"/>
      <x:c r="G48" s="2"/>
      <x:c r="H48" s="2"/>
    </x:row>
    <x:row r="49" ht="21" customHeight="1">
      <x:c r="A49" s="2" t="str">
        <x:v>FY27 micro-transactions (Annual projections!F8)</x:v>
      </x:c>
      <x:c r="B49" s="2"/>
      <x:c r="C49" s="2"/>
      <x:c r="D49" s="2" t="str">
        <x:v>=F7*'Forecast workings'!D13</x:v>
      </x:c>
      <x:c r="E49" s="2"/>
      <x:c r="F49" s="2"/>
      <x:c r="G49" s="2"/>
      <x:c r="H49" s="2"/>
    </x:row>
    <x:row r="50" ht="21" customHeight="1">
      <x:c r="A50" s="2" t="str">
        <x:v>FY27 marketing (Annual projections!F17)</x:v>
      </x:c>
      <x:c r="B50" s="2"/>
      <x:c r="C50" s="2"/>
      <x:c r="D50" s="2" t="str">
        <x:v>=F12*'Forecast workings'!D20</x:v>
      </x:c>
      <x:c r="E50" s="2"/>
      <x:c r="F50" s="2"/>
      <x:c r="G50" s="2"/>
      <x:c r="H50" s="2"/>
    </x:row>
    <x:row r="51" ht="21" customHeight="1">
      <x:c r="A51" s="2" t="str">
        <x:v>FY27 EBITDA (Annual projections!F22)</x:v>
      </x:c>
      <x:c r="B51" s="2"/>
      <x:c r="C51" s="2"/>
      <x:c r="D51" s="2" t="str">
        <x:v>=F12-F20</x:v>
      </x:c>
      <x:c r="E51" s="2"/>
      <x:c r="F51" s="2"/>
      <x:c r="G51" s="2"/>
      <x:c r="H51" s="2"/>
    </x:row>
    <x:row r="52" ht="21" customHeight="1">
      <x:c r="A52" s="2" t="str">
        <x:v>FY27 EBITDA margin (Annual projections!F23)</x:v>
      </x:c>
      <x:c r="B52" s="2"/>
      <x:c r="C52" s="2"/>
      <x:c r="D52" s="2" t="str">
        <x:v>=F22/F12</x:v>
      </x:c>
      <x:c r="E52" s="2"/>
      <x:c r="F52" s="2"/>
      <x:c r="G52" s="2"/>
      <x:c r="H52" s="2"/>
    </x:row>
    <x:row r="53" ht="21" customHeight="1">
      <x:c r="A53" s="2"/>
      <x:c r="B53" s="2"/>
      <x:c r="C53" s="2"/>
      <x:c r="D53" s="2"/>
      <x:c r="E53" s="2"/>
      <x:c r="F53" s="2"/>
      <x:c r="G53" s="2"/>
      <x:c r="H53" s="2"/>
    </x:row>
    <x:row r="54" ht="21" customHeight="1">
      <x:c r="A54" s="13" t="str">
        <x:v>Source and limitations</x:v>
      </x:c>
      <x:c r="B54" s="13"/>
      <x:c r="C54" s="13"/>
      <x:c r="D54" s="13"/>
      <x:c r="E54" s="13"/>
      <x:c r="F54" s="13"/>
      <x:c r="G54" s="2"/>
      <x:c r="H54" s="2"/>
    </x:row>
    <x:row r="55" ht="21" customHeight="1">
      <x:c r="A55" s="2" t="str">
        <x:v>Source: Projections.xlsx, Sheet1, A1:K19. Supplied values are retained on Source actuals.</x:v>
      </x:c>
      <x:c r="B55" s="2"/>
      <x:c r="C55" s="2"/>
      <x:c r="D55" s="2"/>
      <x:c r="E55" s="2"/>
      <x:c r="F55" s="2"/>
      <x:c r="G55" s="2"/>
      <x:c r="H55" s="2"/>
    </x:row>
    <x:row r="56" ht="21" customHeight="1">
      <x:c r="A56" s="2" t="str">
        <x:v>Model cutoff is November 2025. No later actuals, budget, headcount or customer data were supplied.</x:v>
      </x:c>
      <x:c r="B56" s="2"/>
      <x:c r="C56" s="2"/>
      <x:c r="D56" s="2"/>
      <x:c r="E56" s="2"/>
      <x:c r="F56" s="2"/>
      <x:c r="G56" s="2"/>
      <x:c r="H56" s="2"/>
    </x:row>
    <x:row r="57" ht="21" customHeight="1">
      <x:c r="A57" s="2" t="str">
        <x:v>Revenue growth and expense assumptions are estimates, not external industry benchmarks.</x:v>
      </x:c>
      <x:c r="B57" s="2"/>
      <x:c r="C57" s="2"/>
      <x:c r="D57" s="2"/>
      <x:c r="E57" s="2"/>
      <x:c r="F57" s="2"/>
      <x:c r="G57" s="2"/>
      <x:c r="H57" s="2"/>
    </x:row>
    <x:row r="58" ht="21" customHeight="1">
      <x:c r="A58" s="2" t="str">
        <x:v>EBITDA follows the source definition: net revenue less the five stated operating cost categories.</x:v>
      </x:c>
      <x:c r="B58" s="2"/>
      <x:c r="C58" s="2"/>
      <x:c r="D58" s="2"/>
      <x:c r="E58" s="2"/>
      <x:c r="F58" s="2"/>
      <x:c r="G58" s="2"/>
      <x:c r="H58" s="2"/>
    </x:row>
    <x:row r="59" ht="21" customHeight="1">
      <x:c r="A59" s="2" t="str">
        <x:v>No additional tax, interest, depreciation, capex or cash-flow forecast is inferred from this sheet.</x:v>
      </x:c>
      <x:c r="B59" s="2"/>
      <x:c r="C59" s="2"/>
      <x:c r="D59" s="2"/>
      <x:c r="E59" s="2"/>
      <x:c r="F59" s="2"/>
      <x:c r="G59" s="2"/>
      <x:c r="H59" s="2"/>
    </x:row>
    <x:row r="60" ht="21" customHeight="1">
      <x:c r="A60" s="2" t="str">
        <x:v>The user selected a cautious recent-cost forecast with an allowance for costs returning.</x:v>
      </x:c>
      <x:c r="B60" s="2"/>
      <x:c r="C60" s="2"/>
      <x:c r="D60" s="2"/>
      <x:c r="E60" s="2"/>
      <x:c r="F60" s="2"/>
      <x:c r="G60" s="2"/>
      <x:c r="H60" s="2"/>
    </x:row>
    <x:row r="61" ht="21" customHeight="1">
      <x:c r="A61" s="2"/>
      <x:c r="B61" s="2"/>
      <x:c r="C61" s="2"/>
      <x:c r="D61" s="2"/>
      <x:c r="E61" s="2"/>
      <x:c r="F61" s="2"/>
      <x:c r="G61" s="2"/>
      <x:c r="H61" s="2"/>
    </x:row>
    <x:row r="62" ht="21" customHeight="1">
      <x:c r="A62" s="13" t="str">
        <x:v>Historical reconciliation</x:v>
      </x:c>
      <x:c r="B62" s="13"/>
      <x:c r="C62" s="13"/>
      <x:c r="D62" s="13"/>
      <x:c r="E62" s="13"/>
      <x:c r="F62" s="13"/>
      <x:c r="G62" s="2"/>
      <x:c r="H62" s="2"/>
    </x:row>
    <x:row r="63" ht="21" customHeight="1">
      <x:c r="A63" s="2" t="str">
        <x:v>FY25 source EBITDA difference</x:v>
      </x:c>
      <x:c r="B63" s="2"/>
      <x:c r="C63" s="61" t="n">
        <x:f>'Source actuals'!G8-'Source actuals'!G16-'Source actuals'!G18</x:f>
        <x:v>0</x:v>
      </x:c>
      <x:c r="D63" s="2"/>
      <x:c r="E63" s="2"/>
      <x:c r="F63" s="2"/>
      <x:c r="G63" s="2"/>
      <x:c r="H63" s="2"/>
    </x:row>
    <x:row r="64" ht="21" customHeight="1">
      <x:c r="A64" s="2" t="str">
        <x:v>FY26 YTD source EBITDA difference</x:v>
      </x:c>
      <x:c r="B64" s="2"/>
      <x:c r="C64" s="61" t="n">
        <x:f>'Source actuals'!K8-'Source actuals'!K16-'Source actuals'!K18</x:f>
        <x:v>1.4551915228366852e-11</x:v>
      </x:c>
      <x:c r="D64" s="2"/>
      <x:c r="E64" s="2"/>
      <x:c r="F64" s="2"/>
      <x:c r="G64" s="2"/>
      <x:c r="H64" s="2"/>
    </x:row>
    <x:row r="65" ht="21" customHeight="1">
      <x:c r="A65" s="2"/>
      <x:c r="B65" s="2"/>
      <x:c r="C65" s="2"/>
      <x:c r="D65" s="2"/>
      <x:c r="E65" s="2"/>
      <x:c r="F65" s="2"/>
      <x:c r="G65" s="2"/>
      <x:c r="H65" s="2"/>
    </x:row>
    <x:row r="66" ht="21" customHeight="1">
      <x:c r="A66" s="2"/>
      <x:c r="B66" s="2"/>
      <x:c r="C66" s="2"/>
      <x:c r="D66" s="2"/>
      <x:c r="E66" s="2"/>
      <x:c r="F66" s="2"/>
      <x:c r="G66" s="2"/>
      <x:c r="H66" s="2"/>
    </x:row>
  </x:sheetData>
  <x:conditionalFormatting sqref="C63:C64">
    <x:cfRule type="cellIs" dxfId="0" priority="1" operator="notBetween">
      <x:formula>-0.01</x:formula>
      <x:formula>0.01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CDB4"/>
  </x:sheetPr>
  <x:sheetViews>
    <x:sheetView showGridLines="0" workbookViewId="0"/>
  </x:sheetViews>
  <x:sheetFormatPr defaultRowHeight="15"/>
  <x:cols>
    <x:col min="1" max="1" width="47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2" max="2" width="9" hidden="0" customWidth="1"/>
  </x:cols>
  <x:sheetData>
    <x:row r="1" ht="48" customHeight="1">
      <x:c r="A1" s="67" t="str">
        <x:v>Particulars</x:v>
      </x:c>
      <x:c r="B1" s="67" t="str">
        <x:v>UoM</x:v>
      </x:c>
      <x:c r="C1" s="67" t="str">
        <x:v>Q1 FY25
(Apr-Jun'24)</x:v>
      </x:c>
      <x:c r="D1" s="67" t="str">
        <x:v>Q2 FY25
(Jul-Sep'24)</x:v>
      </x:c>
      <x:c r="E1" s="67" t="str">
        <x:v>Q3 FY25
(Oct-Dec'24)</x:v>
      </x:c>
      <x:c r="F1" s="67" t="str">
        <x:v>Q4 FY25
(Jan-Mar'25)</x:v>
      </x:c>
      <x:c r="G1" s="67" t="str">
        <x:v>FY25
(Full Year)</x:v>
      </x:c>
      <x:c r="H1" s="67" t="str">
        <x:v>Q1 FY26
(Apr-Jun'25)</x:v>
      </x:c>
      <x:c r="I1" s="67" t="str">
        <x:v>Q2 FY26
(Jul-Sep'25)</x:v>
      </x:c>
      <x:c r="J1" s="67" t="str">
        <x:v>Q3 FY26
(Oct-Nov'25, 2mo)</x:v>
      </x:c>
      <x:c r="K1" s="67" t="str">
        <x:v>FY26 YTD
(8 mo)</x:v>
      </x:c>
    </x:row>
    <x:row r="2" ht="21" customHeight="1">
      <x:c r="A2" s="70" t="str">
        <x:v>Revenue Contributors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</x:row>
    <x:row r="3" ht="21" customHeight="1">
      <x:c r="A3" s="62" t="str">
        <x:v>Subscription revenue</x:v>
      </x:c>
      <x:c r="B3" s="62" t="str">
        <x:v>$ 000</x:v>
      </x:c>
      <x:c r="C3" s="68" t="n">
        <x:v>1999.018579010027</x:v>
      </x:c>
      <x:c r="D3" s="68" t="n">
        <x:v>6317.29640352101</x:v>
      </x:c>
      <x:c r="E3" s="68" t="n">
        <x:v>16822.25684823325</x:v>
      </x:c>
      <x:c r="F3" s="68" t="n">
        <x:v>28019.82458938855</x:v>
      </x:c>
      <x:c r="G3" s="68" t="n">
        <x:v>53158.39642015284</x:v>
      </x:c>
      <x:c r="H3" s="68" t="n">
        <x:v>43320.2928869759</x:v>
      </x:c>
      <x:c r="I3" s="68" t="n">
        <x:v>61661.8349104932</x:v>
      </x:c>
      <x:c r="J3" s="68" t="n">
        <x:v>52069.7869360483</x:v>
      </x:c>
      <x:c r="K3" s="68" t="n">
        <x:v>157051.9147335174</x:v>
      </x:c>
    </x:row>
    <x:row r="4" ht="21" customHeight="1">
      <x:c r="A4" s="62" t="str">
        <x:v>Micro-transactions</x:v>
      </x:c>
      <x:c r="B4" s="62" t="str">
        <x:v>$ 000</x:v>
      </x:c>
      <x:c r="C4" s="68" t="n">
        <x:v>187.2269652231091</x:v>
      </x:c>
      <x:c r="D4" s="68" t="n">
        <x:v>582.4025001644479</x:v>
      </x:c>
      <x:c r="E4" s="68" t="n">
        <x:v>1637.019359987509</x:v>
      </x:c>
      <x:c r="F4" s="68" t="n">
        <x:v>2491.819744042033</x:v>
      </x:c>
      <x:c r="G4" s="68" t="n">
        <x:v>4898.4685694170985</x:v>
      </x:c>
      <x:c r="H4" s="68" t="n">
        <x:v>4316.64015349072</x:v>
      </x:c>
      <x:c r="I4" s="68" t="n">
        <x:v>5937.69938072389</x:v>
      </x:c>
      <x:c r="J4" s="68" t="n">
        <x:v>5469.19889784678</x:v>
      </x:c>
      <x:c r="K4" s="68" t="n">
        <x:v>15723.53843206139</x:v>
      </x:c>
    </x:row>
    <x:row r="5" ht="21" customHeight="1">
      <x:c r="A5" s="62" t="str">
        <x:v>Ad revenue</x:v>
      </x:c>
      <x:c r="B5" s="62" t="str">
        <x:v>$ 000</x:v>
      </x:c>
      <x:c r="C5" s="68" t="n">
        <x:v>160.27751193507072</x:v>
      </x:c>
      <x:c r="D5" s="68" t="n">
        <x:v>635.6784162385411</x:v>
      </x:c>
      <x:c r="E5" s="68" t="n">
        <x:v>1201.442684782799</x:v>
      </x:c>
      <x:c r="F5" s="68" t="n">
        <x:v>1807.736439690101</x:v>
      </x:c>
      <x:c r="G5" s="68" t="n">
        <x:v>3805.135052646512</x:v>
      </x:c>
      <x:c r="H5" s="68" t="n">
        <x:v>2033.267205379636</x:v>
      </x:c>
      <x:c r="I5" s="68" t="n">
        <x:v>289.202806266769</x:v>
      </x:c>
      <x:c r="J5" s="68" t="n">
        <x:v>162.178</x:v>
      </x:c>
      <x:c r="K5" s="68" t="n">
        <x:v>2484.648011646405</x:v>
      </x:c>
    </x:row>
    <x:row r="6" ht="21" customHeight="1">
      <x:c r="A6" s="73" t="str">
        <x:v>Gross Revenue</x:v>
      </x:c>
      <x:c r="B6" s="73" t="str">
        <x:v>$ 000</x:v>
      </x:c>
      <x:c r="C6" s="74" t="n">
        <x:v>2346.523056168207</x:v>
      </x:c>
      <x:c r="D6" s="74" t="n">
        <x:v>7535.377319923999</x:v>
      </x:c>
      <x:c r="E6" s="74" t="n">
        <x:v>19660.71889300356</x:v>
      </x:c>
      <x:c r="F6" s="74" t="n">
        <x:v>32319.380773120683</x:v>
      </x:c>
      <x:c r="G6" s="74" t="n">
        <x:v>61862.000042216445</x:v>
      </x:c>
      <x:c r="H6" s="74" t="n">
        <x:v>49670.20024584625</x:v>
      </x:c>
      <x:c r="I6" s="74" t="n">
        <x:v>67888.73709748386</x:v>
      </x:c>
      <x:c r="J6" s="74" t="n">
        <x:v>57701.16383389508</x:v>
      </x:c>
      <x:c r="K6" s="74" t="n">
        <x:v>175260.10117722518</x:v>
      </x:c>
    </x:row>
    <x:row r="7" ht="21" customHeight="1">
      <x:c r="A7" s="62" t="str">
        <x:v>Refunds</x:v>
      </x:c>
      <x:c r="B7" s="62" t="str">
        <x:v>$ 000</x:v>
      </x:c>
      <x:c r="C7" s="68" t="n">
        <x:v>0</x:v>
      </x:c>
      <x:c r="D7" s="68" t="n">
        <x:v>0</x:v>
      </x:c>
      <x:c r="E7" s="68" t="n">
        <x:v>0</x:v>
      </x:c>
      <x:c r="F7" s="68" t="n">
        <x:v>0</x:v>
      </x:c>
      <x:c r="G7" s="68" t="n">
        <x:v>0</x:v>
      </x:c>
      <x:c r="H7" s="68" t="n">
        <x:v>880.884203576248</x:v>
      </x:c>
      <x:c r="I7" s="68" t="n">
        <x:v>656.1018583733473</x:v>
      </x:c>
      <x:c r="J7" s="68" t="n">
        <x:v>757.670572025414</x:v>
      </x:c>
      <x:c r="K7" s="68" t="n">
        <x:v>2294.6566339750093</x:v>
      </x:c>
    </x:row>
    <x:row r="8" ht="21" customHeight="1">
      <x:c r="A8" s="73" t="str">
        <x:v>Net Revenue</x:v>
      </x:c>
      <x:c r="B8" s="73" t="str">
        <x:v>$ 000</x:v>
      </x:c>
      <x:c r="C8" s="74" t="n">
        <x:v>2346.523056168207</x:v>
      </x:c>
      <x:c r="D8" s="74" t="n">
        <x:v>7535.377319923999</x:v>
      </x:c>
      <x:c r="E8" s="74" t="n">
        <x:v>19660.71889300356</x:v>
      </x:c>
      <x:c r="F8" s="74" t="n">
        <x:v>32319.380773120683</x:v>
      </x:c>
      <x:c r="G8" s="74" t="n">
        <x:v>61862.000042216445</x:v>
      </x:c>
      <x:c r="H8" s="74" t="n">
        <x:v>48789.31604227</x:v>
      </x:c>
      <x:c r="I8" s="74" t="n">
        <x:v>67232.6352391105</x:v>
      </x:c>
      <x:c r="J8" s="74" t="n">
        <x:v>56943.49326186966</x:v>
      </x:c>
      <x:c r="K8" s="74" t="n">
        <x:v>172965.44454325017</x:v>
      </x:c>
    </x:row>
    <x:row r="9" ht="21" customHeight="1">
      <x:c r="A9" s="62"/>
      <x:c r="B9" s="62"/>
      <x:c r="C9" s="68"/>
      <x:c r="D9" s="68"/>
      <x:c r="E9" s="68"/>
      <x:c r="F9" s="68"/>
      <x:c r="G9" s="68"/>
      <x:c r="H9" s="68"/>
      <x:c r="I9" s="68"/>
      <x:c r="J9" s="68"/>
      <x:c r="K9" s="68"/>
    </x:row>
    <x:row r="10" ht="21" customHeight="1">
      <x:c r="A10" s="70" t="str">
        <x:v>Operating Expenses (Opex)</x:v>
      </x:c>
      <x:c r="B10" s="70"/>
      <x:c r="C10" s="71"/>
      <x:c r="D10" s="71"/>
      <x:c r="E10" s="71"/>
      <x:c r="F10" s="71"/>
      <x:c r="G10" s="71"/>
      <x:c r="H10" s="71"/>
      <x:c r="I10" s="71"/>
      <x:c r="J10" s="71"/>
      <x:c r="K10" s="71"/>
    </x:row>
    <x:row r="11" ht="21" customHeight="1">
      <x:c r="A11" s="62" t="str">
        <x:v>Content development costs</x:v>
      </x:c>
      <x:c r="B11" s="62" t="str">
        <x:v>$ 000</x:v>
      </x:c>
      <x:c r="C11" s="68" t="n">
        <x:v>411.8831688625073</x:v>
      </x:c>
      <x:c r="D11" s="68" t="n">
        <x:v>2469.302215597055</x:v>
      </x:c>
      <x:c r="E11" s="68" t="n">
        <x:v>7789.98256768327</x:v>
      </x:c>
      <x:c r="F11" s="68" t="n">
        <x:v>84192.0339465854</x:v>
      </x:c>
      <x:c r="G11" s="68" t="n">
        <x:v>94863.20189872824</x:v>
      </x:c>
      <x:c r="H11" s="68" t="n">
        <x:v>39044.9829019117</x:v>
      </x:c>
      <x:c r="I11" s="68" t="n">
        <x:v>8652.859078864289</x:v>
      </x:c>
      <x:c r="J11" s="68" t="n">
        <x:v>2787.09783297689</x:v>
      </x:c>
      <x:c r="K11" s="68" t="n">
        <x:v>50484.939813752884</x:v>
      </x:c>
    </x:row>
    <x:row r="12" ht="21" customHeight="1">
      <x:c r="A12" s="62" t="str">
        <x:v>Salary</x:v>
      </x:c>
      <x:c r="B12" s="62" t="str">
        <x:v>$ 000</x:v>
      </x:c>
      <x:c r="C12" s="68" t="n">
        <x:v>1114.736560355324</x:v>
      </x:c>
      <x:c r="D12" s="68" t="n">
        <x:v>3518.44687569565</x:v>
      </x:c>
      <x:c r="E12" s="68" t="n">
        <x:v>10641.23479647038</x:v>
      </x:c>
      <x:c r="F12" s="68" t="n">
        <x:v>60796.123842314104</x:v>
      </x:c>
      <x:c r="G12" s="68" t="n">
        <x:v>76070.54207483545</x:v>
      </x:c>
      <x:c r="H12" s="68" t="n">
        <x:v>28269.63909222163</x:v>
      </x:c>
      <x:c r="I12" s="68" t="n">
        <x:v>2687.413271058042</x:v>
      </x:c>
      <x:c r="J12" s="68" t="n">
        <x:v>835.547959287375</x:v>
      </x:c>
      <x:c r="K12" s="68" t="n">
        <x:v>31792.600322567047</x:v>
      </x:c>
    </x:row>
    <x:row r="13" ht="21" customHeight="1">
      <x:c r="A13" s="62" t="str">
        <x:v>Marketing</x:v>
      </x:c>
      <x:c r="B13" s="62" t="str">
        <x:v>$ 000</x:v>
      </x:c>
      <x:c r="C13" s="68" t="n">
        <x:v>3077.500132534476</x:v>
      </x:c>
      <x:c r="D13" s="68" t="n">
        <x:v>9659.38340288151</x:v>
      </x:c>
      <x:c r="E13" s="68" t="n">
        <x:v>26931.9239109752</x:v>
      </x:c>
      <x:c r="F13" s="68" t="n">
        <x:v>26715.494080920602</x:v>
      </x:c>
      <x:c r="G13" s="68" t="n">
        <x:v>66384.30152731179</x:v>
      </x:c>
      <x:c r="H13" s="68" t="n">
        <x:v>35414.171072198</x:v>
      </x:c>
      <x:c r="I13" s="68" t="n">
        <x:v>31633.9210108332</x:v>
      </x:c>
      <x:c r="J13" s="68" t="n">
        <x:v>21554.5814046914</x:v>
      </x:c>
      <x:c r="K13" s="68" t="n">
        <x:v>88602.6734877226</x:v>
      </x:c>
    </x:row>
    <x:row r="14" ht="21" customHeight="1">
      <x:c r="A14" s="62" t="str">
        <x:v>Tech &amp; Product</x:v>
      </x:c>
      <x:c r="B14" s="62" t="str">
        <x:v>$ 000</x:v>
      </x:c>
      <x:c r="C14" s="68" t="n">
        <x:v>936.3824427216479</x:v>
      </x:c>
      <x:c r="D14" s="68" t="n">
        <x:v>2792.5407978863223</x:v>
      </x:c>
      <x:c r="E14" s="68" t="n">
        <x:v>6429.0046073575995</x:v>
      </x:c>
      <x:c r="F14" s="68" t="n">
        <x:v>213526.61282335527</x:v>
      </x:c>
      <x:c r="G14" s="68" t="n">
        <x:v>223684.54067132084</x:v>
      </x:c>
      <x:c r="H14" s="68" t="n">
        <x:v>45079.42399339786</x:v>
      </x:c>
      <x:c r="I14" s="68" t="n">
        <x:v>25121.330976576188</x:v>
      </x:c>
      <x:c r="J14" s="68" t="n">
        <x:v>21837.8302132994</x:v>
      </x:c>
      <x:c r="K14" s="68" t="n">
        <x:v>92038.58518327345</x:v>
      </x:c>
    </x:row>
    <x:row r="15" ht="21" customHeight="1">
      <x:c r="A15" s="62" t="str">
        <x:v>Other G&amp;A</x:v>
      </x:c>
      <x:c r="B15" s="62" t="str">
        <x:v>$ 000</x:v>
      </x:c>
      <x:c r="C15" s="68" t="n">
        <x:v>566.2930501133178</x:v>
      </x:c>
      <x:c r="D15" s="68" t="n">
        <x:v>2589.557664312734</x:v>
      </x:c>
      <x:c r="E15" s="68" t="n">
        <x:v>4549.1980066577125</x:v>
      </x:c>
      <x:c r="F15" s="68" t="n">
        <x:v>25279.277358078158</x:v>
      </x:c>
      <x:c r="G15" s="68" t="n">
        <x:v>32984.326079161925</x:v>
      </x:c>
      <x:c r="H15" s="68" t="n">
        <x:v>17703.4202920811</x:v>
      </x:c>
      <x:c r="I15" s="68" t="n">
        <x:v>1695.517470590601</x:v>
      </x:c>
      <x:c r="J15" s="68" t="n">
        <x:v>603.703110420448</x:v>
      </x:c>
      <x:c r="K15" s="68" t="n">
        <x:v>20002.64087309215</x:v>
      </x:c>
    </x:row>
    <x:row r="16" ht="21" customHeight="1">
      <x:c r="A16" s="73" t="str">
        <x:v>Total Opex</x:v>
      </x:c>
      <x:c r="B16" s="73" t="str">
        <x:v>$ 000</x:v>
      </x:c>
      <x:c r="C16" s="74" t="n">
        <x:v>6106.795354587273</x:v>
      </x:c>
      <x:c r="D16" s="74" t="n">
        <x:v>21029.23095637327</x:v>
      </x:c>
      <x:c r="E16" s="74" t="n">
        <x:v>56341.34388914416</x:v>
      </x:c>
      <x:c r="F16" s="74" t="n">
        <x:v>410509.5420512535</x:v>
      </x:c>
      <x:c r="G16" s="74" t="n">
        <x:v>493986.9122513582</x:v>
      </x:c>
      <x:c r="H16" s="74" t="n">
        <x:v>165511.6373518103</x:v>
      </x:c>
      <x:c r="I16" s="74" t="n">
        <x:v>69791.04180792232</x:v>
      </x:c>
      <x:c r="J16" s="74" t="n">
        <x:v>47618.76052067551</x:v>
      </x:c>
      <x:c r="K16" s="74" t="n">
        <x:v>282921.4396804081</x:v>
      </x:c>
    </x:row>
    <x:row r="17" ht="21" customHeight="1">
      <x:c r="A17" s="62"/>
      <x:c r="B17" s="62"/>
      <x:c r="C17" s="68"/>
      <x:c r="D17" s="68"/>
      <x:c r="E17" s="68"/>
      <x:c r="F17" s="68"/>
      <x:c r="G17" s="68"/>
      <x:c r="H17" s="68"/>
      <x:c r="I17" s="68"/>
      <x:c r="J17" s="68"/>
      <x:c r="K17" s="68"/>
    </x:row>
    <x:row r="18" ht="21" customHeight="1">
      <x:c r="A18" s="73" t="str">
        <x:v>EBITDA (Net Revenue − Total Opex)</x:v>
      </x:c>
      <x:c r="B18" s="73" t="str">
        <x:v>$ 000</x:v>
      </x:c>
      <x:c r="C18" s="74" t="n">
        <x:v>-3760.2722984190664</x:v>
      </x:c>
      <x:c r="D18" s="74" t="n">
        <x:v>-13493.853636449272</x:v>
      </x:c>
      <x:c r="E18" s="74" t="n">
        <x:v>-36680.6249961406</x:v>
      </x:c>
      <x:c r="F18" s="74" t="n">
        <x:v>-378190.1612781328</x:v>
      </x:c>
      <x:c r="G18" s="74" t="n">
        <x:v>-432124.91220914177</x:v>
      </x:c>
      <x:c r="H18" s="74" t="n">
        <x:v>-116722.32130954029</x:v>
      </x:c>
      <x:c r="I18" s="74" t="n">
        <x:v>-2558.4065688118135</x:v>
      </x:c>
      <x:c r="J18" s="74" t="n">
        <x:v>9324.732741194151</x:v>
      </x:c>
      <x:c r="K18" s="74" t="n">
        <x:v>-109955.99513715795</x:v>
      </x:c>
    </x:row>
    <x:row r="19" ht="21" customHeight="1">
      <x:c r="A19" s="70" t="str">
        <x:v>EBITDA Margin (% of Net Revenue)</x:v>
      </x:c>
      <x:c r="B19" s="70" t="str">
        <x:v>%</x:v>
      </x:c>
      <x:c r="C19" s="72" t="n">
        <x:v>-1.6024868319680883</x:v>
      </x:c>
      <x:c r="D19" s="72" t="n">
        <x:v>-1.7907336372885665</x:v>
      </x:c>
      <x:c r="E19" s="72" t="n">
        <x:v>-1.8656807615103903</x:v>
      </x:c>
      <x:c r="F19" s="72" t="n">
        <x:v>-11.701652452223504</x:v>
      </x:c>
      <x:c r="G19" s="72" t="n">
        <x:v>-6.9853045797783295</x:v>
      </x:c>
      <x:c r="H19" s="72" t="n">
        <x:v>-2.3923746175989558</x:v>
      </x:c>
      <x:c r="I19" s="72" t="n">
        <x:v>-0.03805304610942187</x:v>
      </x:c>
      <x:c r="J19" s="72" t="n">
        <x:v>0.16375413953464202</x:v>
      </x:c>
      <x:c r="K19" s="72" t="n">
        <x:v>-0.6357107653931613</x:v>
      </x:c>
    </x:row>
    <x:row r="20" ht="21" customHeight="1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</x:row>
    <x:row r="21" ht="21" customHeight="1">
      <x:c r="A21" s="62" t="str">
        <x:v>Source: supplied Projections.xlsx, Sheet1. Original values and period labels retained.</x:v>
      </x:c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</x:row>
  </x:sheetData>
  <x:pageMargins left="0.7" right="0.7" top="0.75" bottom="0.75" header="0.3" footer="0.3"/>
</x:worksheet>
</file>